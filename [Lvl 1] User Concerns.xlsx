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<sst xmlns="http://schemas.openxmlformats.org/spreadsheetml/2006/main" count="99" uniqueCount="53">
  <si>
    <t>RUN</t>
  </si>
  <si>
    <t>Priority</t>
  </si>
  <si>
    <t>Sprint</t>
  </si>
  <si>
    <t>Work Type</t>
  </si>
  <si>
    <t>Module Affected</t>
  </si>
  <si>
    <t>Page</t>
  </si>
  <si>
    <t>Date</t>
  </si>
  <si>
    <t>Description of Concern</t>
  </si>
  <si>
    <t>User Details (Student ID/Employee ID/Applicant ID)</t>
  </si>
  <si>
    <t>Attachment</t>
  </si>
  <si>
    <t>Reporter Mail</t>
  </si>
  <si>
    <t>Status</t>
  </si>
  <si>
    <t>Ticket ID</t>
  </si>
  <si>
    <t>Issue Type ID</t>
  </si>
  <si>
    <t>Assignee ID</t>
  </si>
  <si>
    <t>Priority 2</t>
  </si>
  <si>
    <t>High</t>
  </si>
  <si>
    <t>SCRUM Sprint 0</t>
  </si>
  <si>
    <t>Task</t>
  </si>
  <si>
    <t>Admissions</t>
  </si>
  <si>
    <t>Profile Verification</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</si>
  <si>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</si>
  <si>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Employee ID: 1267212</t>
  </si>
  <si>
    <t>https://drive.google.com/file/d/1GB-RsdQOv2OYKaRuHVt7CqnXyvhgxYfV/view?usp=sharing</t>
  </si>
  <si>
    <t>zaptest2@yopmail.com</t>
  </si>
  <si>
    <t>Open</t>
  </si>
  <si>
    <t>Low</t>
  </si>
  <si>
    <t>Finance</t>
  </si>
  <si>
    <t>Fees Collection</t>
  </si>
  <si>
    <t>Employee ID: 1267213</t>
  </si>
  <si>
    <t>zaptest3@yopmail.com</t>
  </si>
  <si>
    <t>712020:4e850593-6884-4198-a3da-aef238149435</t>
  </si>
  <si>
    <t>Medium</t>
  </si>
  <si>
    <t>Story</t>
  </si>
  <si>
    <t>Exam Configuration</t>
  </si>
  <si>
    <t>Employee ID: 1267214</t>
  </si>
  <si>
    <t>zaptest1@yopmail.com</t>
  </si>
  <si>
    <t>712020:6669e05a-c6ac-40fd-9895-d6dad0de9ec8</t>
  </si>
  <si>
    <t>Bug</t>
  </si>
  <si>
    <t>Academic</t>
  </si>
  <si>
    <t>Sectioning</t>
  </si>
  <si>
    <t>Employee ID: 1267215</t>
  </si>
  <si>
    <t>https://drive.google.com/file/d/1W548gNpjICKpWgvU3OHjUyxkkX_QnF7T/view?usp=drive_link</t>
  </si>
  <si>
    <t>712020:235a8a4b-04fb-4fac-aec6-401c4ea44db0</t>
  </si>
  <si>
    <t>Lowest</t>
  </si>
  <si>
    <t>SCRUM Sprint 1</t>
  </si>
  <si>
    <t>Attenddance Checking</t>
  </si>
  <si>
    <t>Employee ID: 1267216</t>
  </si>
  <si>
    <t>Fees Configuration</t>
  </si>
  <si>
    <t>Employee ID: 1267217</t>
  </si>
  <si>
    <t>SCRUM-11</t>
  </si>
  <si>
    <t>SCRUM-54</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</si>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</sst>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2">
    <font>
      <sz val="10.0"/>
      <color rgb="FF000000"/>
      <name val="Arial"/>
      <scheme val="minor"/>
    </font>
    <font>
      <b/>
      <color theme="1"/>
      <name val="Roboto"/>
    </font>
    <font>
      <color theme="1"/>
      <name val="Arial"/>
      <scheme val="minor"/>
    </font>
    <font>
      <color rgb="FF434343"/>
      <name val="Roboto"/>
    </font>
    <font>
      <sz val="11.0"/>
      <color rgb="FF000000"/>
      <name val="&quot;Open Sans&quot;"/>
    </font>
    <font>
      <u/>
      <color rgb="FF434343"/>
      <name val="Roboto"/>
    </font>
    <font>
      <i/>
      <color theme="1"/>
      <name val="Roboto"/>
    </font>
    <font>
      <color rgb="FFB10202"/>
      <name val="Roboto"/>
    </font>
    <font>
      <u/>
      <color rgb="FF0000FF"/>
      <name val="Arial"/>
    </font>
    <font>
      <color rgb="FF000000"/>
      <name val="Arial"/>
    </font>
    <font>
      <u/>
      <color rgb="FF434343"/>
      <name val="Roboto"/>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2" fontId="3" numFmtId="0" xfId="0" applyAlignment="1" applyFill="1" applyFont="1">
      <alignment horizontal="center" readingOrder="0" shrinkToFit="0" vertical="center" wrapText="1"/>
    </xf>
    <xf borderId="0" fillId="2" fontId="3" numFmtId="0" xfId="0" applyAlignment="1" applyFont="1">
      <alignment readingOrder="0" shrinkToFit="0" vertical="center" wrapText="1"/>
    </xf>
    <xf borderId="1" fillId="2" fontId="3" numFmtId="0" xfId="0" applyAlignment="1" applyBorder="1" applyFont="1">
      <alignment horizontal="left" readingOrder="0" shrinkToFit="0" vertical="center" wrapText="1"/>
    </xf>
    <xf borderId="1" fillId="2" fontId="3" numFmtId="164" xfId="0" applyAlignment="1" applyBorder="1" applyFont="1" applyNumberFormat="1">
      <alignment horizontal="left" readingOrder="0" shrinkToFit="0" vertical="center" wrapText="1"/>
    </xf>
    <xf borderId="1" fillId="2" fontId="4" numFmtId="0" xfId="0" applyAlignment="1" applyBorder="1" applyFont="1">
      <alignment readingOrder="0" shrinkToFit="0" vertical="center" wrapText="1"/>
    </xf>
    <xf borderId="1" fillId="2" fontId="3" numFmtId="0" xfId="0" applyAlignment="1" applyBorder="1" applyFont="1">
      <alignment shrinkToFit="0" vertical="center" wrapText="1"/>
    </xf>
    <xf borderId="1" fillId="3" fontId="5" numFmtId="0" xfId="0" applyAlignment="1" applyBorder="1" applyFill="1" applyFont="1">
      <alignment horizontal="left" readingOrder="0" shrinkToFit="0" vertical="center" wrapText="1"/>
    </xf>
    <xf borderId="1" fillId="2" fontId="6" numFmtId="0" xfId="0" applyAlignment="1" applyBorder="1" applyFont="1">
      <alignment horizontal="left" readingOrder="0" shrinkToFit="0" vertical="center" wrapText="1"/>
    </xf>
    <xf borderId="1" fillId="2" fontId="7" numFmtId="0" xfId="0" applyAlignment="1" applyBorder="1" applyFont="1">
      <alignment readingOrder="0" shrinkToFit="0" vertical="center" wrapText="1"/>
    </xf>
    <xf borderId="0" fillId="2" fontId="7" numFmtId="0" xfId="0" applyAlignment="1" applyFont="1">
      <alignment readingOrder="0" shrinkToFit="0" vertical="center" wrapText="1"/>
    </xf>
    <xf borderId="0" fillId="0" fontId="2" numFmtId="0" xfId="0" applyAlignment="1" applyFont="1">
      <alignment shrinkToFit="0" vertical="center" wrapText="0"/>
    </xf>
    <xf borderId="1" fillId="0" fontId="2" numFmtId="0" xfId="0" applyAlignment="1" applyBorder="1" applyFont="1">
      <alignment readingOrder="0" shrinkToFit="0" vertical="center" wrapText="1"/>
    </xf>
    <xf borderId="1" fillId="3" fontId="3" numFmtId="0" xfId="0" applyAlignment="1" applyBorder="1" applyFont="1">
      <alignment shrinkToFit="0" vertical="center" wrapText="1"/>
    </xf>
    <xf borderId="1" fillId="3" fontId="8" numFmtId="0" xfId="0" applyAlignment="1" applyBorder="1" applyFont="1">
      <alignment horizontal="left" readingOrder="0" shrinkToFit="0" vertical="center" wrapText="0"/>
    </xf>
    <xf borderId="1" fillId="2" fontId="3" numFmtId="0" xfId="0" applyAlignment="1" applyBorder="1" applyFont="1">
      <alignment shrinkToFit="0" vertical="center" wrapText="1"/>
    </xf>
    <xf borderId="1" fillId="2" fontId="9" numFmtId="0" xfId="0" applyAlignment="1" applyBorder="1" applyFont="1">
      <alignment horizontal="left" readingOrder="0" shrinkToFit="0" vertical="center" wrapText="0"/>
    </xf>
    <xf borderId="1" fillId="2" fontId="10" numFmtId="0" xfId="0" applyAlignment="1" applyBorder="1" applyFont="1">
      <alignment horizontal="left" readingOrder="0" shrinkToFit="0" vertical="center" wrapText="1"/>
    </xf>
    <xf borderId="0" fillId="2" fontId="3"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2" fontId="3" numFmtId="164" xfId="0" applyAlignment="1" applyFont="1" applyNumberFormat="1">
      <alignment horizontal="left" readingOrder="0" shrinkToFit="0" vertical="center" wrapText="1"/>
    </xf>
    <xf borderId="0" fillId="2" fontId="4" numFmtId="0" xfId="0" applyAlignment="1" applyFont="1">
      <alignment readingOrder="0" shrinkToFit="0" vertical="center" wrapText="1"/>
    </xf>
    <xf borderId="0" fillId="3" fontId="3" numFmtId="0" xfId="0" applyAlignment="1" applyFont="1">
      <alignment readingOrder="0" shrinkToFit="0" vertical="center" wrapText="1"/>
    </xf>
    <xf borderId="0" fillId="3" fontId="11"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7" numFmtId="0" xfId="0" applyAlignment="1" applyFont="1">
      <alignment readingOrder="0" shrinkToFit="0" vertical="center" wrapText="1"/>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9" displayName="Table1" name="Table1" id="1">
  <tableColumns count="16">
    <tableColumn name="RUN" id="1"/>
    <tableColumn name="Priority" id="2"/>
    <tableColumn name="Sprint" id="3"/>
    <tableColumn name="Work Type" id="4"/>
    <tableColumn name="Module Affected" id="5"/>
    <tableColumn name="Page" id="6"/>
    <tableColumn name="Date" id="7"/>
    <tableColumn name="Description of Concern" id="8"/>
    <tableColumn name="User Details (Student ID/Employee ID/Applicant ID)" id="9"/>
    <tableColumn name="Attachment" id="10"/>
    <tableColumn name="Reporter Mail" id="11"/>
    <tableColumn name="Status" id="12"/>
    <tableColumn name="Ticket ID" id="13"/>
    <tableColumn name="Issue Type ID" id="14"/>
    <tableColumn name="Assignee ID" id="15"/>
    <tableColumn name="Priority 2" id="1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GB-RsdQOv2OYKaRuHVt7CqnXyvhgxYfV/view?usp=sharing" TargetMode="External"/><Relationship Id="rId2" Type="http://schemas.openxmlformats.org/officeDocument/2006/relationships/hyperlink" Target="https://drive.google.com/file/d/1GB-RsdQOv2OYKaRuHVt7CqnXyvhgxYfV/view?usp=sharing" TargetMode="External"/><Relationship Id="rId3" Type="http://schemas.openxmlformats.org/officeDocument/2006/relationships/hyperlink" Target="https://drive.google.com/file/d/1GB-RsdQOv2OYKaRuHVt7CqnXyvhgxYfV/view?usp=sharing" TargetMode="External"/><Relationship Id="rId4" Type="http://schemas.openxmlformats.org/officeDocument/2006/relationships/hyperlink" Target="https://drive.google.com/file/d/1W548gNpjICKpWgvU3OHjUyxkkX_QnF7T/view?usp=drive_link"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drive.google.com/file/d/1W548gNpjICKpWgvU3OHjUyxkkX_QnF7T/view?usp=drive_link" TargetMode="External"/><Relationship Id="rId6" Type="http://schemas.openxmlformats.org/officeDocument/2006/relationships/hyperlink" Target="https://drive.google.com/file/d/1GB-RsdQOv2OYKaRuHVt7CqnXyvhgxYfV/view?usp=sharing" TargetMode="External"/><Relationship Id="rId7" Type="http://schemas.openxmlformats.org/officeDocument/2006/relationships/hyperlink" Target="https://drive.google.com/file/d/1GB-RsdQOv2OYKaRuHVt7CqnXyvhgxYfV/view?usp=sharing" TargetMode="External"/><Relationship Id="rId8" Type="http://schemas.openxmlformats.org/officeDocument/2006/relationships/hyperlink" Target="https://drive.google.com/file/d/1GB-RsdQOv2OYKaRuHVt7CqnXyvhgxYfV/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0"/>
    <col customWidth="1" min="8" max="8" width="58.5"/>
    <col customWidth="1" min="9" max="9" width="20.0"/>
    <col customWidth="1" min="10" max="10" width="20.25"/>
    <col customWidth="1" min="11" max="11" width="19.63"/>
    <col customWidth="1" min="15" max="15" width="21.75"/>
  </cols>
  <sheetData>
    <row r="1" ht="26.25" customHeight="1">
      <c r="A1" s="1" t="s">
        <v>0</v>
      </c>
      <c r="B1" s="1" t="s">
        <v>1</v>
      </c>
      <c r="C1" s="1" t="s">
        <v>2</v>
      </c>
      <c r="D1" s="1" t="s">
        <v>3</v>
      </c>
      <c r="E1" s="1" t="s">
        <v>4</v>
      </c>
      <c r="F1" s="1" t="s">
        <v>5</v>
      </c>
      <c r="G1" s="1" t="s">
        <v>6</v>
      </c>
      <c r="H1" s="1" t="s">
        <v>7</v>
      </c>
      <c r="I1" s="1" t="s">
        <v>8</v>
      </c>
      <c r="J1" s="1" t="s">
        <v>9</v>
      </c>
      <c r="K1" s="2" t="s">
        <v>10</v>
      </c>
      <c r="L1" s="3" t="s">
        <v>11</v>
      </c>
      <c r="M1" s="3" t="s">
        <v>12</v>
      </c>
      <c r="N1" s="4" t="s">
        <v>13</v>
      </c>
      <c r="O1" s="4" t="s">
        <v>14</v>
      </c>
      <c r="P1" s="4" t="s">
        <v>15</v>
      </c>
    </row>
    <row r="2" ht="78.75" customHeight="1">
      <c r="A2" s="5" t="b">
        <v>1</v>
      </c>
      <c r="B2" s="6" t="s">
        <v>16</v>
      </c>
      <c r="C2" s="6" t="s">
        <v>17</v>
      </c>
      <c r="D2" s="6" t="s">
        <v>18</v>
      </c>
      <c r="E2" s="7" t="s">
        <v>19</v>
      </c>
      <c r="F2" s="7" t="s">
        <v>20</v>
      </c>
      <c r="G2" s="8">
        <v>46078.0</v>
      </c>
      <c r="H2" s="9" t="s">
        <v>21</v>
      </c>
      <c r="I2" s="10" t="s">
        <v>22</v>
      </c>
      <c r="J2" s="11" t="s">
        <v>23</v>
      </c>
      <c r="K2" s="12" t="s">
        <v>24</v>
      </c>
      <c r="L2" s="13" t="s">
        <v>25</v>
      </c>
      <c r="M2" s="14"/>
      <c r="N2" s="15">
        <f t="array" ref="N2:N7">SWITCH(D2:D7, "Task", 10003, "Story", 10004, "Bug", 10005, "")</f>
        <v>10003</v>
      </c>
      <c r="O2" s="15" t="str">
        <f t="array" ref="O2:O7">SWITCH(E2:E7, "Admissions", "712020:6669e05a-c6ac-40fd-9895-d6dad0de9ec8", "Finance", "712020:4e850593-6884-4198-a3da-aef238149435", "Academic", "712020:235a8a4b-04fb-4fac-aec6-401c4ea44db0", "")</f>
        <v>712020:6669e05a-c6ac-40fd-9895-d6dad0de9ec8</v>
      </c>
      <c r="P2" s="15">
        <f t="array" ref="P2:P7">SWITCH(B2:B7, "Highest", 1, "High", 2, "Medium", 3, "Low", 4, "Lowest", 5, "")</f>
        <v>2</v>
      </c>
    </row>
    <row r="3" ht="43.5" customHeight="1">
      <c r="A3" s="5" t="b">
        <v>0</v>
      </c>
      <c r="B3" s="6" t="s">
        <v>26</v>
      </c>
      <c r="C3" s="6" t="s">
        <v>17</v>
      </c>
      <c r="D3" s="6" t="s">
        <v>18</v>
      </c>
      <c r="E3" s="7" t="s">
        <v>27</v>
      </c>
      <c r="F3" s="16" t="s">
        <v>28</v>
      </c>
      <c r="G3" s="8">
        <v>46078.0</v>
      </c>
      <c r="H3" s="9" t="s">
        <v>21</v>
      </c>
      <c r="I3" s="17" t="s">
        <v>29</v>
      </c>
      <c r="J3" s="18" t="s">
        <v>23</v>
      </c>
      <c r="K3" s="12" t="s">
        <v>30</v>
      </c>
      <c r="L3" s="13" t="s">
        <v>25</v>
      </c>
      <c r="M3" s="14"/>
      <c r="N3" s="15">
        <v>10003.0</v>
      </c>
      <c r="O3" s="15" t="s">
        <v>31</v>
      </c>
      <c r="P3" s="15">
        <v>4.0</v>
      </c>
    </row>
    <row r="4" ht="81.75" customHeight="1">
      <c r="A4" s="5" t="b">
        <v>0</v>
      </c>
      <c r="B4" s="6" t="s">
        <v>32</v>
      </c>
      <c r="C4" s="6" t="s">
        <v>17</v>
      </c>
      <c r="D4" s="6" t="s">
        <v>33</v>
      </c>
      <c r="E4" s="7" t="s">
        <v>19</v>
      </c>
      <c r="F4" s="7" t="s">
        <v>34</v>
      </c>
      <c r="G4" s="8">
        <v>46079.0</v>
      </c>
      <c r="H4" s="9" t="s">
        <v>21</v>
      </c>
      <c r="I4" s="19" t="s">
        <v>35</v>
      </c>
      <c r="J4" s="20" t="s">
        <v>23</v>
      </c>
      <c r="K4" s="12" t="s">
        <v>36</v>
      </c>
      <c r="L4" s="13" t="s">
        <v>25</v>
      </c>
      <c r="M4" s="14"/>
      <c r="N4" s="15">
        <v>10004.0</v>
      </c>
      <c r="O4" s="15" t="s">
        <v>37</v>
      </c>
      <c r="P4" s="15">
        <v>3.0</v>
      </c>
    </row>
    <row r="5" ht="67.5" customHeight="1">
      <c r="A5" s="5" t="b">
        <v>1</v>
      </c>
      <c r="B5" s="6" t="s">
        <v>16</v>
      </c>
      <c r="C5" s="6" t="s">
        <v>17</v>
      </c>
      <c r="D5" s="6" t="s">
        <v>38</v>
      </c>
      <c r="E5" s="7" t="s">
        <v>39</v>
      </c>
      <c r="F5" s="7" t="s">
        <v>40</v>
      </c>
      <c r="G5" s="8">
        <v>46079.0</v>
      </c>
      <c r="H5" s="9" t="s">
        <v>21</v>
      </c>
      <c r="I5" s="17" t="s">
        <v>41</v>
      </c>
      <c r="J5" s="18" t="s">
        <v>42</v>
      </c>
      <c r="K5" s="12" t="s">
        <v>24</v>
      </c>
      <c r="L5" s="13" t="s">
        <v>25</v>
      </c>
      <c r="M5" s="14"/>
      <c r="N5" s="15">
        <v>10005.0</v>
      </c>
      <c r="O5" s="15" t="s">
        <v>43</v>
      </c>
      <c r="P5" s="15">
        <v>2.0</v>
      </c>
    </row>
    <row r="6" ht="57.0" customHeight="1">
      <c r="A6" s="5" t="b">
        <v>1</v>
      </c>
      <c r="B6" s="6" t="s">
        <v>44</v>
      </c>
      <c r="C6" s="6" t="s">
        <v>45</v>
      </c>
      <c r="D6" s="6" t="s">
        <v>33</v>
      </c>
      <c r="E6" s="7" t="s">
        <v>39</v>
      </c>
      <c r="F6" s="7" t="s">
        <v>46</v>
      </c>
      <c r="G6" s="8">
        <v>46080.0</v>
      </c>
      <c r="H6" s="9" t="s">
        <v>21</v>
      </c>
      <c r="I6" s="19" t="s">
        <v>47</v>
      </c>
      <c r="J6" s="21" t="s">
        <v>42</v>
      </c>
      <c r="K6" s="12" t="s">
        <v>30</v>
      </c>
      <c r="L6" s="13" t="s">
        <v>25</v>
      </c>
      <c r="M6" s="14"/>
      <c r="N6" s="15">
        <v>10004.0</v>
      </c>
      <c r="O6" s="15" t="s">
        <v>43</v>
      </c>
      <c r="P6" s="15">
        <v>5.0</v>
      </c>
    </row>
    <row r="7" ht="75.0" customHeight="1">
      <c r="A7" s="5" t="b">
        <v>1</v>
      </c>
      <c r="B7" s="6" t="s">
        <v>26</v>
      </c>
      <c r="C7" s="6" t="s">
        <v>45</v>
      </c>
      <c r="D7" s="6" t="s">
        <v>38</v>
      </c>
      <c r="E7" s="7" t="s">
        <v>27</v>
      </c>
      <c r="F7" s="16" t="s">
        <v>48</v>
      </c>
      <c r="G7" s="8">
        <v>46081.0</v>
      </c>
      <c r="H7" s="9" t="s">
        <v>21</v>
      </c>
      <c r="I7" s="17" t="s">
        <v>49</v>
      </c>
      <c r="J7" s="11" t="s">
        <v>23</v>
      </c>
      <c r="K7" s="12" t="s">
        <v>36</v>
      </c>
      <c r="L7" s="13" t="s">
        <v>25</v>
      </c>
      <c r="M7" s="14" t="s">
        <v>50</v>
      </c>
      <c r="N7" s="15">
        <v>10005.0</v>
      </c>
      <c r="O7" s="15" t="s">
        <v>31</v>
      </c>
      <c r="P7" s="15">
        <v>4.0</v>
      </c>
    </row>
    <row r="8" ht="75.0" customHeight="1">
      <c r="A8" s="5" t="b">
        <v>1</v>
      </c>
      <c r="B8" s="6"/>
      <c r="C8" s="6"/>
      <c r="D8" s="6"/>
      <c r="E8" s="22" t="s">
        <v>27</v>
      </c>
      <c r="F8" s="23" t="s">
        <v>48</v>
      </c>
      <c r="G8" s="24">
        <v>46081.0</v>
      </c>
      <c r="H8" s="25" t="s">
        <v>21</v>
      </c>
      <c r="I8" s="26" t="s">
        <v>49</v>
      </c>
      <c r="J8" s="27" t="s">
        <v>23</v>
      </c>
      <c r="K8" s="28" t="s">
        <v>36</v>
      </c>
      <c r="L8" s="29" t="s">
        <v>25</v>
      </c>
      <c r="M8" s="14" t="s">
        <v>51</v>
      </c>
      <c r="N8" s="30" t="s">
        <v>52</v>
      </c>
    </row>
    <row r="9" ht="75.0" customHeight="1">
      <c r="A9" s="5" t="b">
        <v>0</v>
      </c>
      <c r="B9" s="6"/>
      <c r="C9" s="6"/>
      <c r="D9" s="6"/>
      <c r="E9" s="22" t="s">
        <v>27</v>
      </c>
      <c r="F9" s="23" t="s">
        <v>48</v>
      </c>
      <c r="G9" s="24">
        <v>46081.0</v>
      </c>
      <c r="H9" s="25" t="s">
        <v>21</v>
      </c>
      <c r="I9" s="26" t="s">
        <v>49</v>
      </c>
      <c r="J9" s="27" t="s">
        <v>23</v>
      </c>
      <c r="K9" s="28" t="s">
        <v>36</v>
      </c>
      <c r="L9" s="29" t="s">
        <v>25</v>
      </c>
      <c r="M9" s="14" t="s">
        <v>52</v>
      </c>
      <c r="N9" s="30"/>
    </row>
  </sheetData>
  <conditionalFormatting sqref="N2:N9">
    <cfRule type="colorScale" priority="1">
      <colorScale>
        <cfvo type="min"/>
        <cfvo type="max"/>
        <color rgb="FFFFFFFF"/>
        <color rgb="FF57BB8A"/>
      </colorScale>
    </cfRule>
  </conditionalFormatting>
  <dataValidations>
    <dataValidation type="list" allowBlank="1" sqref="L2:L9">
      <formula1>"Closed,Open,Ongoing,Resolved"</formula1>
    </dataValidation>
    <dataValidation type="list" allowBlank="1" sqref="B2:B9">
      <formula1>"Highest,High,Medium,Low,Lowest"</formula1>
    </dataValidation>
    <dataValidation type="list" allowBlank="1" sqref="D2:D9">
      <formula1>"Task,Story,Bug"</formula1>
    </dataValidation>
    <dataValidation type="list" allowBlank="1" sqref="C2:C9">
      <formula1>"SCRUM Sprint 0,SCRUM Sprint 1"</formula1>
    </dataValidation>
  </dataValidations>
  <hyperlinks>
    <hyperlink r:id="rId1" ref="J2"/>
    <hyperlink r:id="rId2" ref="J3"/>
    <hyperlink r:id="rId3" ref="J4"/>
    <hyperlink r:id="rId4" ref="J5"/>
    <hyperlink r:id="rId5" ref="J6"/>
    <hyperlink r:id="rId6" ref="J7"/>
    <hyperlink r:id="rId7" ref="J8"/>
    <hyperlink r:id="rId8" ref="J9"/>
  </hyperlinks>
  <drawing r:id="rId9"/>
  <tableParts count="1">
    <tablePart r:id="rId11"/>
  </tableParts>
</worksheet>
</file>